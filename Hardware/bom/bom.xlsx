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m\Documents\projects\hardware\sheaf65\Hardware\BOM\"/>
    </mc:Choice>
  </mc:AlternateContent>
  <xr:revisionPtr revIDLastSave="0" documentId="13_ncr:1_{5953217A-7EC6-4546-A20A-50D56840AAC1}" xr6:coauthVersionLast="47" xr6:coauthVersionMax="47" xr10:uidLastSave="{00000000-0000-0000-0000-000000000000}"/>
  <bookViews>
    <workbookView xWindow="3105" yWindow="2910" windowWidth="15930" windowHeight="9165" xr2:uid="{7EBACB66-221B-455C-9668-D99D7DBAA942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2" i="1" s="1"/>
  <c r="G21" i="1"/>
  <c r="F21" i="1"/>
  <c r="G16" i="1"/>
  <c r="G13" i="1"/>
  <c r="G12" i="1"/>
  <c r="G20" i="1"/>
  <c r="G19" i="1"/>
  <c r="G18" i="1"/>
  <c r="G3" i="1"/>
  <c r="G4" i="1"/>
  <c r="G5" i="1"/>
  <c r="G6" i="1"/>
  <c r="G7" i="1"/>
  <c r="G8" i="1"/>
  <c r="G9" i="1"/>
  <c r="G10" i="1"/>
  <c r="G11" i="1"/>
  <c r="G14" i="1"/>
  <c r="G15" i="1"/>
  <c r="G17" i="1"/>
  <c r="G2" i="1"/>
</calcChain>
</file>

<file path=xl/sharedStrings.xml><?xml version="1.0" encoding="utf-8"?>
<sst xmlns="http://schemas.openxmlformats.org/spreadsheetml/2006/main" count="105" uniqueCount="75">
  <si>
    <t>Category</t>
  </si>
  <si>
    <t>Item</t>
  </si>
  <si>
    <t>Spec</t>
  </si>
  <si>
    <t>Brand</t>
  </si>
  <si>
    <t>Quantity</t>
  </si>
  <si>
    <t>Cost (INR)</t>
  </si>
  <si>
    <t>Cost (USD)</t>
  </si>
  <si>
    <t>Link</t>
  </si>
  <si>
    <t>PCB</t>
  </si>
  <si>
    <t>MCU Board</t>
  </si>
  <si>
    <t>ProMicro RP2040</t>
  </si>
  <si>
    <t>Generic</t>
  </si>
  <si>
    <t>https://robu.in/product/promicro-rp2040-blackboard-proxy/</t>
  </si>
  <si>
    <t>THT Diodes</t>
  </si>
  <si>
    <t>1N4148 DO-35</t>
  </si>
  <si>
    <t>https://robu.in/product/1n4148-1w-zener-diode-pack-of-50/</t>
  </si>
  <si>
    <t>Rotary Encoder</t>
  </si>
  <si>
    <t>EC11 10K</t>
  </si>
  <si>
    <t>https://www.amazon.in/dp/B0888RWNM1</t>
  </si>
  <si>
    <t>OLED Display</t>
  </si>
  <si>
    <t>SSD1306 I2C 0.91"</t>
  </si>
  <si>
    <t>https://robu.in/product/blue-oled-display-module</t>
  </si>
  <si>
    <t>Male Header</t>
  </si>
  <si>
    <t>Male to Male Header 10u</t>
  </si>
  <si>
    <t>https://robu.in/product/2-54mm-1x40-pin-male-single-row-smt-header-strip-pack-of-5/</t>
  </si>
  <si>
    <t>Hotswap Socket</t>
  </si>
  <si>
    <t>https://meckeys.com/shop/accessories/keyboard-accessories/key-switches/kailh-hot-swap-socket/</t>
  </si>
  <si>
    <t>Fabrication</t>
  </si>
  <si>
    <t>2-layer, FR4, 1.6mm</t>
  </si>
  <si>
    <t>JLCPCB</t>
  </si>
  <si>
    <t>https://jlcpcb.com/</t>
  </si>
  <si>
    <t>Mounting</t>
  </si>
  <si>
    <t>Phillips Screw</t>
  </si>
  <si>
    <t>M2 x 4mm</t>
  </si>
  <si>
    <t>OnlyScrews</t>
  </si>
  <si>
    <t>https://onlyscrews.in/products/m2-x-4mm-phillips-round-head-laptop-screw</t>
  </si>
  <si>
    <t>M2 x 5mm</t>
  </si>
  <si>
    <t>https://onlyscrews.in/products/m2-x-4mm-phillips-round-head-laptop-screw-dia-2mm-length-5mm</t>
  </si>
  <si>
    <t>Spacer</t>
  </si>
  <si>
    <t>Brass Spacer M2 x 10mm</t>
  </si>
  <si>
    <t>https://onlyscrews.in/products/m2-x-10mm-female-to-female-brass-with-nickel-plating-hex-threaded-standoff-spacer</t>
  </si>
  <si>
    <t>Brass Spacer M2 x 6mm</t>
  </si>
  <si>
    <t>https://onlyscrews.in/products/m2-x-6mm-female-to-female-brass-with-nickel-plating-hex-threaded-standoff-spacer</t>
  </si>
  <si>
    <t>Body</t>
  </si>
  <si>
    <t>3D printed</t>
  </si>
  <si>
    <t>Keyboard Part</t>
  </si>
  <si>
    <t>Switches</t>
  </si>
  <si>
    <t>Y3 Linear Switches</t>
  </si>
  <si>
    <t>Keygeek MZ Studio</t>
  </si>
  <si>
    <t>https://keyora.store/products/keygeek-y3</t>
  </si>
  <si>
    <t>Keycaps</t>
  </si>
  <si>
    <t>Cherry PBT Keycaps</t>
  </si>
  <si>
    <t>CuriosityCaps</t>
  </si>
  <si>
    <t>https://curiositycaps.in/products/grey-animals-party-big-font-cherry-pbt-keycaps</t>
  </si>
  <si>
    <t>Stabilizers</t>
  </si>
  <si>
    <t>Plate Mount Stabilizer Set</t>
  </si>
  <si>
    <t>Durock</t>
  </si>
  <si>
    <t>https://www.genesispc.in/products/durock-plate-mount-stabilizers-6-25u-4x2u-black</t>
  </si>
  <si>
    <t>TOTAL</t>
  </si>
  <si>
    <t>M2 x 8mm</t>
  </si>
  <si>
    <t>https://onlyscrews.in/products/m2-x-8mm-phillips-round-head-laptop-screw-1</t>
  </si>
  <si>
    <t>Threaded Insert</t>
  </si>
  <si>
    <t>M4 x 4mm</t>
  </si>
  <si>
    <t xml:space="preserve">M4 x 8mm </t>
  </si>
  <si>
    <t>https://onlyscrews.in/products/m4-x-4mm-brass-threaded-inserts-2</t>
  </si>
  <si>
    <t>https://onlyscrews.in/products/phillips-pan-head-m4-x-8mm-pack-of-20</t>
  </si>
  <si>
    <t>Plate, Backplate</t>
  </si>
  <si>
    <t>Rubber Feet</t>
  </si>
  <si>
    <t>8mm Self Adhesive</t>
  </si>
  <si>
    <t>https://www.amazon.in/Miramar-Adhesive-Non-Slip-Furniture-Hemispherical/dp/B0BLN4TCPT</t>
  </si>
  <si>
    <t>TTC</t>
  </si>
  <si>
    <t>TTC Pokayoke V2 Socket</t>
  </si>
  <si>
    <t>Shipping</t>
  </si>
  <si>
    <t>Robu.in FDM</t>
  </si>
  <si>
    <t>https://robu.in/product/3d-printing-service1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</si>
</sst>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DD07-4F54-47C1-AF97-745393103FF2}">
  <dimension ref="A1:H22"/>
  <sheetViews>
    <sheetView tabSelected="1" topLeftCell="A9" zoomScale="130" zoomScaleNormal="130" workbookViewId="0">
      <selection activeCell="H17" sqref="H17"/>
    </sheetView>
  </sheetViews>
  <sheetFormatPr defaultRowHeight="15" x14ac:dyDescent="0.25"/>
  <cols>
    <col min="1" max="1" width="15.42578125" customWidth="1"/>
    <col min="2" max="2" width="16.5703125" customWidth="1"/>
    <col min="3" max="3" width="25.140625" customWidth="1"/>
    <col min="4" max="4" width="18.7109375" customWidth="1"/>
    <col min="5" max="5" width="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303</v>
      </c>
      <c r="G2" t="str">
        <f>_xlfn.CONCAT("~$",ROUND(F2/93, 2))</f>
        <v>~$3.26</v>
      </c>
      <c r="H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>
        <v>100</v>
      </c>
      <c r="F3">
        <v>96</v>
      </c>
      <c r="G3" t="str">
        <f t="shared" ref="G3:G13" si="0">_xlfn.CONCAT("~$",ROUND(F3/93, 2))</f>
        <v>~$1.03</v>
      </c>
      <c r="H3" t="s">
        <v>15</v>
      </c>
    </row>
    <row r="4" spans="1:8" x14ac:dyDescent="0.25">
      <c r="A4" t="s">
        <v>8</v>
      </c>
      <c r="B4" t="s">
        <v>16</v>
      </c>
      <c r="C4" t="s">
        <v>17</v>
      </c>
      <c r="D4" t="s">
        <v>11</v>
      </c>
      <c r="E4">
        <v>2</v>
      </c>
      <c r="F4">
        <v>172</v>
      </c>
      <c r="G4" t="str">
        <f t="shared" si="0"/>
        <v>~$1.85</v>
      </c>
      <c r="H4" t="s">
        <v>18</v>
      </c>
    </row>
    <row r="5" spans="1:8" x14ac:dyDescent="0.25">
      <c r="A5" t="s">
        <v>8</v>
      </c>
      <c r="B5" t="s">
        <v>19</v>
      </c>
      <c r="C5" t="s">
        <v>20</v>
      </c>
      <c r="D5" t="s">
        <v>11</v>
      </c>
      <c r="E5">
        <v>1</v>
      </c>
      <c r="F5">
        <v>157</v>
      </c>
      <c r="G5" t="str">
        <f t="shared" si="0"/>
        <v>~$1.69</v>
      </c>
      <c r="H5" t="s">
        <v>21</v>
      </c>
    </row>
    <row r="6" spans="1:8" x14ac:dyDescent="0.25">
      <c r="A6" t="s">
        <v>8</v>
      </c>
      <c r="B6" t="s">
        <v>22</v>
      </c>
      <c r="C6" t="s">
        <v>23</v>
      </c>
      <c r="D6" t="s">
        <v>11</v>
      </c>
      <c r="E6">
        <v>1</v>
      </c>
      <c r="F6">
        <v>9</v>
      </c>
      <c r="G6" t="str">
        <f t="shared" si="0"/>
        <v>~$0.1</v>
      </c>
      <c r="H6" t="s">
        <v>24</v>
      </c>
    </row>
    <row r="7" spans="1:8" x14ac:dyDescent="0.25">
      <c r="A7" t="s">
        <v>8</v>
      </c>
      <c r="B7" t="s">
        <v>25</v>
      </c>
      <c r="C7" t="s">
        <v>71</v>
      </c>
      <c r="D7" t="s">
        <v>70</v>
      </c>
      <c r="E7">
        <v>68</v>
      </c>
      <c r="F7">
        <v>680</v>
      </c>
      <c r="G7" t="str">
        <f t="shared" si="0"/>
        <v>~$7.31</v>
      </c>
      <c r="H7" t="s">
        <v>26</v>
      </c>
    </row>
    <row r="8" spans="1:8" x14ac:dyDescent="0.25">
      <c r="A8" t="s">
        <v>8</v>
      </c>
      <c r="B8" t="s">
        <v>27</v>
      </c>
      <c r="C8" t="s">
        <v>28</v>
      </c>
      <c r="D8" t="s">
        <v>29</v>
      </c>
      <c r="E8">
        <v>5</v>
      </c>
      <c r="F8" s="1">
        <v>4800</v>
      </c>
      <c r="G8" t="str">
        <f t="shared" si="0"/>
        <v>~$51.61</v>
      </c>
      <c r="H8" t="s">
        <v>30</v>
      </c>
    </row>
    <row r="9" spans="1:8" x14ac:dyDescent="0.25">
      <c r="A9" t="s">
        <v>31</v>
      </c>
      <c r="B9" t="s">
        <v>32</v>
      </c>
      <c r="C9" t="s">
        <v>33</v>
      </c>
      <c r="D9" t="s">
        <v>34</v>
      </c>
      <c r="E9">
        <v>2</v>
      </c>
      <c r="F9">
        <v>7.6</v>
      </c>
      <c r="G9" t="str">
        <f t="shared" si="0"/>
        <v>~$0.08</v>
      </c>
      <c r="H9" t="s">
        <v>35</v>
      </c>
    </row>
    <row r="10" spans="1:8" x14ac:dyDescent="0.25">
      <c r="A10" t="s">
        <v>31</v>
      </c>
      <c r="B10" t="s">
        <v>32</v>
      </c>
      <c r="C10" t="s">
        <v>36</v>
      </c>
      <c r="D10" t="s">
        <v>34</v>
      </c>
      <c r="E10">
        <v>12</v>
      </c>
      <c r="F10">
        <v>48</v>
      </c>
      <c r="G10" t="str">
        <f t="shared" si="0"/>
        <v>~$0.52</v>
      </c>
      <c r="H10" t="s">
        <v>37</v>
      </c>
    </row>
    <row r="11" spans="1:8" x14ac:dyDescent="0.25">
      <c r="A11" t="s">
        <v>31</v>
      </c>
      <c r="B11" t="s">
        <v>32</v>
      </c>
      <c r="C11" t="s">
        <v>59</v>
      </c>
      <c r="D11" t="s">
        <v>34</v>
      </c>
      <c r="E11">
        <v>10</v>
      </c>
      <c r="F11">
        <v>44</v>
      </c>
      <c r="G11" t="str">
        <f t="shared" si="0"/>
        <v>~$0.47</v>
      </c>
      <c r="H11" t="s">
        <v>60</v>
      </c>
    </row>
    <row r="12" spans="1:8" x14ac:dyDescent="0.25">
      <c r="A12" t="s">
        <v>31</v>
      </c>
      <c r="B12" t="s">
        <v>32</v>
      </c>
      <c r="C12" t="s">
        <v>63</v>
      </c>
      <c r="D12" t="s">
        <v>34</v>
      </c>
      <c r="E12">
        <v>2</v>
      </c>
      <c r="F12">
        <v>4.4000000000000004</v>
      </c>
      <c r="G12" t="str">
        <f t="shared" si="0"/>
        <v>~$0.05</v>
      </c>
      <c r="H12" t="s">
        <v>65</v>
      </c>
    </row>
    <row r="13" spans="1:8" x14ac:dyDescent="0.25">
      <c r="A13" t="s">
        <v>31</v>
      </c>
      <c r="B13" t="s">
        <v>61</v>
      </c>
      <c r="C13" t="s">
        <v>62</v>
      </c>
      <c r="D13" t="s">
        <v>34</v>
      </c>
      <c r="E13">
        <v>2</v>
      </c>
      <c r="F13">
        <v>6.4</v>
      </c>
      <c r="G13" t="str">
        <f t="shared" si="0"/>
        <v>~$0.07</v>
      </c>
      <c r="H13" t="s">
        <v>64</v>
      </c>
    </row>
    <row r="14" spans="1:8" x14ac:dyDescent="0.25">
      <c r="A14" t="s">
        <v>31</v>
      </c>
      <c r="B14" t="s">
        <v>38</v>
      </c>
      <c r="C14" t="s">
        <v>39</v>
      </c>
      <c r="D14" t="s">
        <v>34</v>
      </c>
      <c r="E14">
        <v>10</v>
      </c>
      <c r="F14">
        <v>56</v>
      </c>
      <c r="G14" t="str">
        <f t="shared" ref="G14:G21" si="1">_xlfn.CONCAT("~$",ROUND(F14/93, 2))</f>
        <v>~$0.6</v>
      </c>
      <c r="H14" t="s">
        <v>40</v>
      </c>
    </row>
    <row r="15" spans="1:8" x14ac:dyDescent="0.25">
      <c r="A15" t="s">
        <v>31</v>
      </c>
      <c r="B15" t="s">
        <v>38</v>
      </c>
      <c r="C15" t="s">
        <v>41</v>
      </c>
      <c r="D15" t="s">
        <v>34</v>
      </c>
      <c r="E15">
        <v>2</v>
      </c>
      <c r="F15">
        <v>8</v>
      </c>
      <c r="G15" t="str">
        <f t="shared" si="1"/>
        <v>~$0.09</v>
      </c>
      <c r="H15" t="s">
        <v>42</v>
      </c>
    </row>
    <row r="16" spans="1:8" x14ac:dyDescent="0.25">
      <c r="A16" t="s">
        <v>43</v>
      </c>
      <c r="B16" t="s">
        <v>67</v>
      </c>
      <c r="C16" t="s">
        <v>68</v>
      </c>
      <c r="D16" t="s">
        <v>11</v>
      </c>
      <c r="E16">
        <v>100</v>
      </c>
      <c r="F16">
        <v>189</v>
      </c>
      <c r="G16" t="str">
        <f t="shared" si="1"/>
        <v>~$2.03</v>
      </c>
      <c r="H16" t="s">
        <v>69</v>
      </c>
    </row>
    <row r="17" spans="1:8" x14ac:dyDescent="0.25">
      <c r="A17" t="s">
        <v>43</v>
      </c>
      <c r="B17" t="s">
        <v>66</v>
      </c>
      <c r="C17" t="s">
        <v>44</v>
      </c>
      <c r="D17" t="s">
        <v>73</v>
      </c>
      <c r="E17">
        <v>1</v>
      </c>
      <c r="F17">
        <v>990</v>
      </c>
      <c r="G17" t="str">
        <f t="shared" si="1"/>
        <v>~$10.65</v>
      </c>
      <c r="H17" t="s">
        <v>74</v>
      </c>
    </row>
    <row r="18" spans="1:8" x14ac:dyDescent="0.25">
      <c r="A18" t="s">
        <v>45</v>
      </c>
      <c r="B18" t="s">
        <v>46</v>
      </c>
      <c r="C18" t="s">
        <v>47</v>
      </c>
      <c r="D18" t="s">
        <v>48</v>
      </c>
      <c r="E18">
        <v>70</v>
      </c>
      <c r="F18" s="1">
        <v>1680</v>
      </c>
      <c r="G18" t="str">
        <f t="shared" si="1"/>
        <v>~$18.06</v>
      </c>
      <c r="H18" t="s">
        <v>49</v>
      </c>
    </row>
    <row r="19" spans="1:8" x14ac:dyDescent="0.25">
      <c r="A19" t="s">
        <v>45</v>
      </c>
      <c r="B19" t="s">
        <v>50</v>
      </c>
      <c r="C19" t="s">
        <v>51</v>
      </c>
      <c r="D19" t="s">
        <v>52</v>
      </c>
      <c r="E19">
        <v>1</v>
      </c>
      <c r="F19">
        <v>1800</v>
      </c>
      <c r="G19" t="str">
        <f t="shared" si="1"/>
        <v>~$19.35</v>
      </c>
      <c r="H19" t="s">
        <v>53</v>
      </c>
    </row>
    <row r="20" spans="1:8" x14ac:dyDescent="0.25">
      <c r="A20" t="s">
        <v>45</v>
      </c>
      <c r="B20" t="s">
        <v>54</v>
      </c>
      <c r="C20" t="s">
        <v>55</v>
      </c>
      <c r="D20" t="s">
        <v>56</v>
      </c>
      <c r="E20">
        <v>1</v>
      </c>
      <c r="F20">
        <v>380</v>
      </c>
      <c r="G20" t="str">
        <f t="shared" si="1"/>
        <v>~$4.09</v>
      </c>
      <c r="H20" t="s">
        <v>57</v>
      </c>
    </row>
    <row r="21" spans="1:8" x14ac:dyDescent="0.25">
      <c r="A21" t="s">
        <v>72</v>
      </c>
      <c r="F21">
        <f>50+82+50</f>
        <v>182</v>
      </c>
      <c r="G21" t="str">
        <f t="shared" si="1"/>
        <v>~$1.96</v>
      </c>
    </row>
    <row r="22" spans="1:8" x14ac:dyDescent="0.25">
      <c r="A22" t="s">
        <v>58</v>
      </c>
      <c r="F22">
        <f>SUM(F2:F21)</f>
        <v>11612.4</v>
      </c>
      <c r="G22" t="str">
        <f>_xlfn.CONCAT("~$",ROUND(F22/93, 2))</f>
        <v>~$124.86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</dc:creator>
  <cp:lastModifiedBy>ritam</cp:lastModifiedBy>
  <dcterms:created xsi:type="dcterms:W3CDTF">2026-04-14T17:18:26Z</dcterms:created>
  <dcterms:modified xsi:type="dcterms:W3CDTF">2026-05-03T19:09:02Z</dcterms:modified>
</cp:coreProperties>
</file>